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\3_kurs\6sem\Economics\"/>
    </mc:Choice>
  </mc:AlternateContent>
  <xr:revisionPtr revIDLastSave="0" documentId="13_ncr:1_{7D9126F2-1A3C-452B-B813-05AE13934E0A}" xr6:coauthVersionLast="47" xr6:coauthVersionMax="47" xr10:uidLastSave="{00000000-0000-0000-0000-000000000000}"/>
  <bookViews>
    <workbookView xWindow="-98" yWindow="-98" windowWidth="24196" windowHeight="14476" xr2:uid="{B4F19185-ED0E-4059-85FA-215C745ACE9F}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B21" i="2"/>
  <c r="B21" i="4"/>
  <c r="B19" i="4"/>
  <c r="B11" i="4"/>
  <c r="B10" i="4"/>
  <c r="B9" i="4"/>
  <c r="B24" i="4"/>
  <c r="B23" i="4"/>
  <c r="B22" i="4"/>
  <c r="N18" i="3"/>
  <c r="N6" i="3"/>
  <c r="N17" i="3"/>
  <c r="N4" i="3"/>
  <c r="N5" i="3"/>
  <c r="N7" i="3"/>
  <c r="N3" i="3"/>
  <c r="N19" i="3"/>
  <c r="N13" i="3"/>
  <c r="N16" i="3"/>
  <c r="N15" i="3"/>
  <c r="N10" i="3"/>
  <c r="N12" i="3"/>
  <c r="N9" i="3"/>
  <c r="N11" i="3"/>
  <c r="B17" i="2"/>
  <c r="B18" i="2"/>
  <c r="P11" i="1"/>
  <c r="O11" i="1"/>
  <c r="I4" i="1"/>
  <c r="K4" i="1"/>
  <c r="N11" i="1"/>
  <c r="M11" i="1"/>
  <c r="K11" i="1"/>
  <c r="K5" i="1"/>
  <c r="K6" i="1"/>
  <c r="K7" i="1"/>
  <c r="K8" i="1"/>
  <c r="K9" i="1"/>
  <c r="K10" i="1"/>
  <c r="L11" i="1"/>
  <c r="J11" i="1"/>
  <c r="I5" i="1"/>
  <c r="I6" i="1"/>
  <c r="I7" i="1"/>
  <c r="I8" i="1"/>
  <c r="I9" i="1"/>
  <c r="I10" i="1"/>
  <c r="L5" i="1"/>
  <c r="L6" i="1"/>
  <c r="L7" i="1"/>
  <c r="L8" i="1"/>
  <c r="L9" i="1"/>
  <c r="L10" i="1"/>
  <c r="F11" i="1"/>
  <c r="B11" i="1"/>
  <c r="C11" i="1"/>
  <c r="J5" i="1"/>
  <c r="J6" i="1"/>
  <c r="J7" i="1"/>
  <c r="J8" i="1"/>
  <c r="J9" i="1"/>
  <c r="J10" i="1"/>
  <c r="J4" i="1"/>
  <c r="I11" i="1" l="1"/>
</calcChain>
</file>

<file path=xl/sharedStrings.xml><?xml version="1.0" encoding="utf-8"?>
<sst xmlns="http://schemas.openxmlformats.org/spreadsheetml/2006/main" count="122" uniqueCount="92">
  <si>
    <t>Показатели</t>
  </si>
  <si>
    <t>Варианты</t>
  </si>
  <si>
    <t>Стоимость ОС на начало года, тыс. руб., в т.ч.</t>
  </si>
  <si>
    <t>непроизводственные ОС</t>
  </si>
  <si>
    <t>неустановленные ОС</t>
  </si>
  <si>
    <t>ОС в запасе</t>
  </si>
  <si>
    <t>полностью самортизированные ОС</t>
  </si>
  <si>
    <t>Введенные , руб.</t>
  </si>
  <si>
    <t>Дата ввода</t>
  </si>
  <si>
    <t>Месяцы работы</t>
  </si>
  <si>
    <t>Выведенные ОС, руб.</t>
  </si>
  <si>
    <t>Дата вывода</t>
  </si>
  <si>
    <t>Начислено амортизационных отчислений за год, тыс. руб.</t>
  </si>
  <si>
    <t>Среднегодовая стоимость ОПС, тыс. руб.</t>
  </si>
  <si>
    <t>Средняя норма амортизации, %</t>
  </si>
  <si>
    <t>Задача 1 вариант</t>
  </si>
  <si>
    <t>Группы ОС / тыс.руб.</t>
  </si>
  <si>
    <t>ОСн.г.</t>
  </si>
  <si>
    <t>Стоимость ОСвведенных</t>
  </si>
  <si>
    <t>Дата ввода ОС</t>
  </si>
  <si>
    <t>Месяцы работы вводимых ОС</t>
  </si>
  <si>
    <t>Стоимость ОСвыведенных</t>
  </si>
  <si>
    <t>Дата вывода ОС</t>
  </si>
  <si>
    <t>Месяцы работы выводимых ОС</t>
  </si>
  <si>
    <t>Структура на н.г., %</t>
  </si>
  <si>
    <t>ОСк.г.</t>
  </si>
  <si>
    <t>Структура на к.г., %</t>
  </si>
  <si>
    <t>ОСср.г.</t>
  </si>
  <si>
    <t>Кобн (по ОСср.г.)</t>
  </si>
  <si>
    <t>Квыб (по ОСср.г.)</t>
  </si>
  <si>
    <t>Доля акт части, % (по ОСср.г.)</t>
  </si>
  <si>
    <t>Доля пассивной части, % (по ОСср.г)</t>
  </si>
  <si>
    <t>Здания</t>
  </si>
  <si>
    <t>Сооружения</t>
  </si>
  <si>
    <t>Машины и оборудование</t>
  </si>
  <si>
    <t>Инструменты</t>
  </si>
  <si>
    <t>Хоз. инвентарь</t>
  </si>
  <si>
    <t>Транспортные средства</t>
  </si>
  <si>
    <t>Прочие ОФ</t>
  </si>
  <si>
    <t>Итого</t>
  </si>
  <si>
    <t>Рассчитать среднегодовую стоимость производственных основных средств и среднюю норму амортизации за отчетный период</t>
  </si>
  <si>
    <t>Задача</t>
  </si>
  <si>
    <t>период эксплатации</t>
  </si>
  <si>
    <t>коэффицент износа</t>
  </si>
  <si>
    <t>Проанализировать изменение уровня использования ОС (темпы изменения плановых обобщающих показателей к отчетному году)</t>
  </si>
  <si>
    <t>Задание</t>
  </si>
  <si>
    <t>Таблица 2</t>
  </si>
  <si>
    <t xml:space="preserve">Таблица 1 Показатели </t>
  </si>
  <si>
    <t>Изменение ФО, %</t>
  </si>
  <si>
    <t>Изменение ФЕ, %</t>
  </si>
  <si>
    <t>Отчетный год</t>
  </si>
  <si>
    <t>Изменение ФВ, %</t>
  </si>
  <si>
    <t>Объем произодства продукции, шт.</t>
  </si>
  <si>
    <t>Изменение ТФВ, %</t>
  </si>
  <si>
    <t>А</t>
  </si>
  <si>
    <t>Изменение Rос, %</t>
  </si>
  <si>
    <t>Б</t>
  </si>
  <si>
    <t>отчет</t>
  </si>
  <si>
    <t>В</t>
  </si>
  <si>
    <t>ФО, руб.</t>
  </si>
  <si>
    <t>Цена продукции, руб./шт.</t>
  </si>
  <si>
    <t>ФЕ, руб.</t>
  </si>
  <si>
    <t>ФВ,руб.</t>
  </si>
  <si>
    <t>ТВ, руб.</t>
  </si>
  <si>
    <t>Р, %</t>
  </si>
  <si>
    <t>Себестоимость продукции, руб./шт.</t>
  </si>
  <si>
    <t>план</t>
  </si>
  <si>
    <t>Среднегодовая стоимость ОС, тыс. руб.</t>
  </si>
  <si>
    <t>в т.ч. здания, сооружения, инвентарь</t>
  </si>
  <si>
    <t>Численность работников, чел.</t>
  </si>
  <si>
    <t>Плановый год</t>
  </si>
  <si>
    <t>Рост среднегодовой стоимости ОС, %</t>
  </si>
  <si>
    <t>в т.ч. здания, сооружения, инвентарь, %</t>
  </si>
  <si>
    <t>Сокращение численности работников, %</t>
  </si>
  <si>
    <t>Длительность оборота оборотных средств факт, дни</t>
  </si>
  <si>
    <t>Длительность оборота оборотных средств план, дни</t>
  </si>
  <si>
    <t>Средний остаток ОбС за период, тыс. руб.</t>
  </si>
  <si>
    <t>Число дней в периодне, дни</t>
  </si>
  <si>
    <t>Реализованная продукция факт, тыс. руб.</t>
  </si>
  <si>
    <t>Реализованная продукция план, тыс. руб.</t>
  </si>
  <si>
    <t>Прирост реализованной продукции, тыс. руб.</t>
  </si>
  <si>
    <t>Задача 2</t>
  </si>
  <si>
    <t>Реализованная продукция, тыс. руб.</t>
  </si>
  <si>
    <t>Средний остаток ОбС за период факт, тыс. руб.</t>
  </si>
  <si>
    <t>Коэффициент оборачиваемости факт</t>
  </si>
  <si>
    <t>Коэффициент оборачиваемости план</t>
  </si>
  <si>
    <t>Длительность одного оборота ОбС факт, дни</t>
  </si>
  <si>
    <t>Длительность одного оборота ОбСплан, дни</t>
  </si>
  <si>
    <t>Средний остаток ОбС за период план, тыс. руб.</t>
  </si>
  <si>
    <t>Размер высвобождаемых ОбС, тыс. руб.</t>
  </si>
  <si>
    <t>Рассчитать показатели использования Оборотных средств (ОбС)</t>
  </si>
  <si>
    <t>Задача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</si>
</sst>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i/>
      <sz val="12"/>
      <color rgb="FFFF0000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b/>
      <i/>
      <sz val="11"/>
      <color rgb="FFFF0000"/>
      <name val="Aptos Narrow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Aptos Narrow"/>
      <family val="2"/>
      <charset val="204"/>
      <scheme val="minor"/>
    </font>
    <font>
      <b/>
      <i/>
      <sz val="9"/>
      <color rgb="FFFF0000"/>
      <name val="Aptos Narrow"/>
      <family val="2"/>
      <charset val="204"/>
      <scheme val="minor"/>
    </font>
    <font>
      <sz val="9"/>
      <color theme="1"/>
      <name val="Aptos Narrow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i/>
      <sz val="11"/>
      <color theme="1"/>
      <name val="Aptos Narrow"/>
      <family val="2"/>
      <charset val="204"/>
      <scheme val="minor"/>
    </font>
    <font>
      <b/>
      <i/>
      <sz val="14"/>
      <color rgb="FFFF0000"/>
      <name val="Aptos Narrow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/>
    <xf numFmtId="0" fontId="1" fillId="3" borderId="0" xfId="0" applyFont="1" applyFill="1"/>
    <xf numFmtId="0" fontId="4" fillId="0" borderId="3" xfId="0" applyFont="1" applyBorder="1"/>
    <xf numFmtId="1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4" borderId="3" xfId="0" applyFont="1" applyFill="1" applyBorder="1"/>
    <xf numFmtId="0" fontId="5" fillId="0" borderId="3" xfId="0" applyFont="1" applyBorder="1"/>
    <xf numFmtId="1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0" fontId="0" fillId="0" borderId="0" xfId="0" applyNumberFormat="1"/>
    <xf numFmtId="1" fontId="4" fillId="0" borderId="3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/>
    <xf numFmtId="0" fontId="3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4" fillId="0" borderId="0" xfId="0" applyFont="1"/>
    <xf numFmtId="0" fontId="7" fillId="2" borderId="3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9" fillId="3" borderId="3" xfId="0" applyFont="1" applyFill="1" applyBorder="1"/>
    <xf numFmtId="0" fontId="9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5" fillId="3" borderId="3" xfId="0" applyFont="1" applyFill="1" applyBorder="1"/>
    <xf numFmtId="165" fontId="9" fillId="3" borderId="3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7" fillId="3" borderId="3" xfId="0" applyFont="1" applyFill="1" applyBorder="1" applyAlignment="1">
      <alignment horizontal="center" vertical="top" wrapText="1"/>
    </xf>
    <xf numFmtId="0" fontId="1" fillId="0" borderId="3" xfId="0" applyFont="1" applyBorder="1"/>
    <xf numFmtId="2" fontId="0" fillId="0" borderId="3" xfId="0" applyNumberFormat="1" applyBorder="1"/>
    <xf numFmtId="0" fontId="12" fillId="2" borderId="3" xfId="0" applyFont="1" applyFill="1" applyBorder="1" applyAlignment="1">
      <alignment horizontal="center" vertical="top" wrapText="1"/>
    </xf>
    <xf numFmtId="0" fontId="11" fillId="0" borderId="3" xfId="0" applyFont="1" applyBorder="1"/>
    <xf numFmtId="0" fontId="13" fillId="3" borderId="3" xfId="0" applyFont="1" applyFill="1" applyBorder="1"/>
    <xf numFmtId="2" fontId="0" fillId="0" borderId="0" xfId="0" applyNumberFormat="1"/>
    <xf numFmtId="0" fontId="14" fillId="0" borderId="0" xfId="0" applyFont="1"/>
    <xf numFmtId="0" fontId="16" fillId="3" borderId="3" xfId="0" applyFont="1" applyFill="1" applyBorder="1"/>
    <xf numFmtId="0" fontId="4" fillId="0" borderId="4" xfId="0" applyFont="1" applyBorder="1"/>
    <xf numFmtId="2" fontId="4" fillId="2" borderId="1" xfId="0" applyNumberFormat="1" applyFont="1" applyFill="1" applyBorder="1" applyAlignment="1">
      <alignment horizontal="center" wrapText="1"/>
    </xf>
    <xf numFmtId="2" fontId="4" fillId="2" borderId="2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9" fillId="0" borderId="3" xfId="0" applyFont="1" applyBorder="1"/>
    <xf numFmtId="165" fontId="9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628E-0A64-402B-B9F4-59D5B7286DC0}">
  <dimension ref="A1:P19"/>
  <sheetViews>
    <sheetView tabSelected="1" zoomScaleNormal="100" workbookViewId="0">
      <selection activeCell="L5" sqref="L5"/>
    </sheetView>
  </sheetViews>
  <sheetFormatPr defaultRowHeight="14.25" x14ac:dyDescent="0.45"/>
  <cols>
    <col min="1" max="1" width="27.1328125" customWidth="1"/>
    <col min="5" max="5" width="14.59765625" customWidth="1"/>
    <col min="8" max="8" width="15.73046875" customWidth="1"/>
  </cols>
  <sheetData>
    <row r="1" spans="1:16" x14ac:dyDescent="0.45">
      <c r="A1" s="2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45" t="s">
        <v>16</v>
      </c>
      <c r="B2" s="45" t="s">
        <v>17</v>
      </c>
      <c r="C2" s="45" t="s">
        <v>18</v>
      </c>
      <c r="D2" s="45" t="s">
        <v>19</v>
      </c>
      <c r="E2" s="45" t="s">
        <v>20</v>
      </c>
      <c r="F2" s="45" t="s">
        <v>21</v>
      </c>
      <c r="G2" s="45" t="s">
        <v>22</v>
      </c>
      <c r="H2" s="45" t="s">
        <v>23</v>
      </c>
      <c r="I2" s="45" t="s">
        <v>24</v>
      </c>
      <c r="J2" s="45" t="s">
        <v>25</v>
      </c>
      <c r="K2" s="45" t="s">
        <v>26</v>
      </c>
      <c r="L2" s="45" t="s">
        <v>27</v>
      </c>
      <c r="M2" s="45" t="s">
        <v>28</v>
      </c>
      <c r="N2" s="45" t="s">
        <v>29</v>
      </c>
      <c r="O2" s="45" t="s">
        <v>30</v>
      </c>
      <c r="P2" s="45" t="s">
        <v>31</v>
      </c>
    </row>
    <row r="3" spans="1:16" ht="36" customHeight="1" x14ac:dyDescent="0.4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x14ac:dyDescent="0.45">
      <c r="A4" s="3" t="s">
        <v>32</v>
      </c>
      <c r="B4" s="4">
        <v>3100</v>
      </c>
      <c r="C4" s="4">
        <v>0</v>
      </c>
      <c r="D4" s="5">
        <v>0</v>
      </c>
      <c r="E4" s="4">
        <v>0</v>
      </c>
      <c r="F4" s="5">
        <v>24</v>
      </c>
      <c r="G4" s="6">
        <v>44986</v>
      </c>
      <c r="H4" s="4">
        <v>2</v>
      </c>
      <c r="I4" s="7">
        <f>B4/$B$11*100%</f>
        <v>0.55209260908281388</v>
      </c>
      <c r="J4" s="4">
        <f>B4+C4-F4</f>
        <v>3076</v>
      </c>
      <c r="K4" s="7">
        <f>J4/$J$11*100%</f>
        <v>0.55214503679770244</v>
      </c>
      <c r="L4" s="4">
        <f>B4+C4*E4/12-F4*(12-H4)/12</f>
        <v>3080</v>
      </c>
      <c r="M4" s="8"/>
      <c r="N4" s="8"/>
      <c r="O4" s="8"/>
      <c r="P4" s="8"/>
    </row>
    <row r="5" spans="1:16" x14ac:dyDescent="0.45">
      <c r="A5" s="3" t="s">
        <v>33</v>
      </c>
      <c r="B5" s="4">
        <v>200</v>
      </c>
      <c r="C5" s="4">
        <v>5</v>
      </c>
      <c r="D5" s="6">
        <v>44958</v>
      </c>
      <c r="E5" s="4">
        <v>11</v>
      </c>
      <c r="F5" s="5">
        <v>5</v>
      </c>
      <c r="G5" s="6">
        <v>45017</v>
      </c>
      <c r="H5" s="4">
        <v>3</v>
      </c>
      <c r="I5" s="15">
        <f t="shared" ref="I5:I10" si="0">B5/$B$11*100%</f>
        <v>3.561887800534283E-2</v>
      </c>
      <c r="J5" s="4">
        <f t="shared" ref="J5:J10" si="1">B5+C5-F5</f>
        <v>200</v>
      </c>
      <c r="K5" s="15">
        <f t="shared" ref="K5:K10" si="2">J5/$J$11*100%</f>
        <v>3.5900197451085983E-2</v>
      </c>
      <c r="L5" s="14">
        <f t="shared" ref="L5:L10" si="3">B5+C5*E5/12-F5*(12-H5)/12</f>
        <v>200.83333333333334</v>
      </c>
      <c r="M5" s="8"/>
      <c r="N5" s="8"/>
      <c r="O5" s="8"/>
      <c r="P5" s="8"/>
    </row>
    <row r="6" spans="1:16" x14ac:dyDescent="0.45">
      <c r="A6" s="3" t="s">
        <v>34</v>
      </c>
      <c r="B6" s="4">
        <v>960</v>
      </c>
      <c r="C6" s="4">
        <v>16</v>
      </c>
      <c r="D6" s="6">
        <v>45047</v>
      </c>
      <c r="E6" s="4">
        <v>8</v>
      </c>
      <c r="F6" s="5">
        <v>16</v>
      </c>
      <c r="G6" s="6">
        <v>45139</v>
      </c>
      <c r="H6" s="4">
        <v>7</v>
      </c>
      <c r="I6" s="15">
        <f t="shared" si="0"/>
        <v>0.1709706144256456</v>
      </c>
      <c r="J6" s="4">
        <f t="shared" si="1"/>
        <v>960</v>
      </c>
      <c r="K6" s="15">
        <f t="shared" si="2"/>
        <v>0.1723209477652127</v>
      </c>
      <c r="L6" s="14">
        <f t="shared" si="3"/>
        <v>964</v>
      </c>
      <c r="M6" s="8"/>
      <c r="N6" s="8"/>
      <c r="O6" s="8"/>
      <c r="P6" s="8"/>
    </row>
    <row r="7" spans="1:16" x14ac:dyDescent="0.45">
      <c r="A7" s="3" t="s">
        <v>35</v>
      </c>
      <c r="B7" s="4">
        <v>240</v>
      </c>
      <c r="C7" s="4">
        <v>10</v>
      </c>
      <c r="D7" s="6">
        <v>45139</v>
      </c>
      <c r="E7" s="4">
        <v>4</v>
      </c>
      <c r="F7" s="5">
        <v>17</v>
      </c>
      <c r="G7" s="6">
        <v>45170</v>
      </c>
      <c r="H7" s="4">
        <v>8</v>
      </c>
      <c r="I7" s="15">
        <f t="shared" si="0"/>
        <v>4.2742653606411399E-2</v>
      </c>
      <c r="J7" s="4">
        <f t="shared" si="1"/>
        <v>233</v>
      </c>
      <c r="K7" s="15">
        <f t="shared" si="2"/>
        <v>4.182373003051517E-2</v>
      </c>
      <c r="L7" s="14">
        <f t="shared" si="3"/>
        <v>237.66666666666669</v>
      </c>
      <c r="M7" s="8"/>
      <c r="N7" s="8"/>
      <c r="O7" s="8"/>
      <c r="P7" s="8"/>
    </row>
    <row r="8" spans="1:16" x14ac:dyDescent="0.45">
      <c r="A8" s="3" t="s">
        <v>36</v>
      </c>
      <c r="B8" s="4">
        <v>400</v>
      </c>
      <c r="C8" s="4">
        <v>12</v>
      </c>
      <c r="D8" s="6">
        <v>45108</v>
      </c>
      <c r="E8" s="4">
        <v>5</v>
      </c>
      <c r="F8" s="5">
        <v>11</v>
      </c>
      <c r="G8" s="6">
        <v>44958</v>
      </c>
      <c r="H8" s="4">
        <v>1</v>
      </c>
      <c r="I8" s="15">
        <f t="shared" si="0"/>
        <v>7.123775601068566E-2</v>
      </c>
      <c r="J8" s="4">
        <f t="shared" si="1"/>
        <v>401</v>
      </c>
      <c r="K8" s="15">
        <f t="shared" si="2"/>
        <v>7.1979895889427395E-2</v>
      </c>
      <c r="L8" s="14">
        <f t="shared" si="3"/>
        <v>394.91666666666669</v>
      </c>
      <c r="M8" s="8"/>
      <c r="N8" s="8"/>
      <c r="O8" s="8"/>
      <c r="P8" s="8"/>
    </row>
    <row r="9" spans="1:16" x14ac:dyDescent="0.45">
      <c r="A9" s="3" t="s">
        <v>37</v>
      </c>
      <c r="B9" s="4">
        <v>620</v>
      </c>
      <c r="C9" s="4">
        <v>3</v>
      </c>
      <c r="D9" s="6">
        <v>45200</v>
      </c>
      <c r="E9" s="4">
        <v>2</v>
      </c>
      <c r="F9" s="5">
        <v>9</v>
      </c>
      <c r="G9" s="6">
        <v>45047</v>
      </c>
      <c r="H9" s="4">
        <v>4</v>
      </c>
      <c r="I9" s="15">
        <f t="shared" si="0"/>
        <v>0.11041852181656278</v>
      </c>
      <c r="J9" s="4">
        <f t="shared" si="1"/>
        <v>614</v>
      </c>
      <c r="K9" s="15">
        <f t="shared" si="2"/>
        <v>0.11021360617483396</v>
      </c>
      <c r="L9" s="14">
        <f t="shared" si="3"/>
        <v>614.5</v>
      </c>
      <c r="M9" s="8"/>
      <c r="N9" s="8"/>
      <c r="O9" s="8"/>
      <c r="P9" s="8"/>
    </row>
    <row r="10" spans="1:16" x14ac:dyDescent="0.45">
      <c r="A10" s="3" t="s">
        <v>38</v>
      </c>
      <c r="B10" s="4">
        <v>95</v>
      </c>
      <c r="C10" s="4">
        <v>0</v>
      </c>
      <c r="D10" s="6">
        <v>45170</v>
      </c>
      <c r="E10" s="4">
        <v>3</v>
      </c>
      <c r="F10" s="5">
        <v>8</v>
      </c>
      <c r="G10" s="6">
        <v>45231</v>
      </c>
      <c r="H10" s="4">
        <v>10</v>
      </c>
      <c r="I10" s="15">
        <f t="shared" si="0"/>
        <v>1.6918967052537846E-2</v>
      </c>
      <c r="J10" s="4">
        <f t="shared" si="1"/>
        <v>87</v>
      </c>
      <c r="K10" s="15">
        <f t="shared" si="2"/>
        <v>1.5616585891222402E-2</v>
      </c>
      <c r="L10" s="14">
        <f t="shared" si="3"/>
        <v>93.666666666666671</v>
      </c>
      <c r="M10" s="8"/>
      <c r="N10" s="8"/>
      <c r="O10" s="8"/>
      <c r="P10" s="8"/>
    </row>
    <row r="11" spans="1:16" x14ac:dyDescent="0.45">
      <c r="A11" s="9" t="s">
        <v>39</v>
      </c>
      <c r="B11" s="10">
        <f>SUM(B4:B10)</f>
        <v>5615</v>
      </c>
      <c r="C11" s="16">
        <f>SUM(C4:C10)</f>
        <v>46</v>
      </c>
      <c r="D11" s="8"/>
      <c r="E11" s="8"/>
      <c r="F11" s="10">
        <f>SUM(F4:F10)</f>
        <v>90</v>
      </c>
      <c r="G11" s="8"/>
      <c r="H11" s="8"/>
      <c r="I11" s="11">
        <f>SUM(I4:I10)</f>
        <v>1</v>
      </c>
      <c r="J11" s="10">
        <f>SUM(J4:J10)</f>
        <v>5571</v>
      </c>
      <c r="K11" s="10">
        <f>SUM(K4:K10)</f>
        <v>1.0000000000000002</v>
      </c>
      <c r="L11" s="10">
        <f>SUM(L4:L10)</f>
        <v>5585.5833333333348</v>
      </c>
      <c r="M11" s="12">
        <f>C11/J11</f>
        <v>8.2570454137497751E-3</v>
      </c>
      <c r="N11" s="12">
        <f>F11/B11</f>
        <v>1.6028495102404273E-2</v>
      </c>
      <c r="O11" s="11">
        <f xml:space="preserve"> (L6+L9+L7)/L11*100</f>
        <v>32.515255046473804</v>
      </c>
      <c r="P11" s="11">
        <f>(L4+L5+L8+L10)/L11*100</f>
        <v>67.48474495352616</v>
      </c>
    </row>
    <row r="19" spans="6:6" x14ac:dyDescent="0.45">
      <c r="F19" s="13"/>
    </row>
  </sheetData>
  <mergeCells count="16">
    <mergeCell ref="F2:F3"/>
    <mergeCell ref="A2:A3"/>
    <mergeCell ref="B2:B3"/>
    <mergeCell ref="C2:C3"/>
    <mergeCell ref="D2:D3"/>
    <mergeCell ref="E2:E3"/>
    <mergeCell ref="M2:M3"/>
    <mergeCell ref="N2:N3"/>
    <mergeCell ref="O2:O3"/>
    <mergeCell ref="P2:P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55C0-36E0-40AD-B78D-BEEBBD7E70EF}">
  <dimension ref="A1:K21"/>
  <sheetViews>
    <sheetView workbookViewId="0">
      <selection activeCell="E31" sqref="E31"/>
    </sheetView>
  </sheetViews>
  <sheetFormatPr defaultRowHeight="14.25" x14ac:dyDescent="0.45"/>
  <cols>
    <col min="1" max="1" width="37.06640625" customWidth="1"/>
    <col min="2" max="2" width="9.59765625" bestFit="1" customWidth="1"/>
  </cols>
  <sheetData>
    <row r="1" spans="1:11" ht="15.75" x14ac:dyDescent="0.5">
      <c r="A1" s="18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75" x14ac:dyDescent="0.5">
      <c r="A2" s="22" t="s">
        <v>41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45">
      <c r="A3" s="47" t="s">
        <v>0</v>
      </c>
      <c r="B3" s="48" t="s">
        <v>1</v>
      </c>
      <c r="C3" s="48"/>
      <c r="D3" s="48"/>
      <c r="E3" s="48"/>
      <c r="F3" s="48"/>
      <c r="G3" s="48"/>
      <c r="H3" s="48"/>
      <c r="I3" s="48"/>
      <c r="J3" s="48"/>
      <c r="K3" s="48"/>
    </row>
    <row r="4" spans="1:11" x14ac:dyDescent="0.45">
      <c r="A4" s="47"/>
      <c r="B4" s="25">
        <v>1</v>
      </c>
      <c r="C4" s="25">
        <v>2</v>
      </c>
      <c r="D4" s="25">
        <v>3</v>
      </c>
      <c r="E4" s="25">
        <v>4</v>
      </c>
      <c r="F4" s="25">
        <v>5</v>
      </c>
      <c r="G4" s="25">
        <v>6</v>
      </c>
      <c r="H4" s="25">
        <v>7</v>
      </c>
      <c r="I4" s="25">
        <v>8</v>
      </c>
      <c r="J4" s="25">
        <v>9</v>
      </c>
      <c r="K4" s="25">
        <v>10</v>
      </c>
    </row>
    <row r="5" spans="1:11" x14ac:dyDescent="0.45">
      <c r="A5" s="26" t="s">
        <v>2</v>
      </c>
      <c r="B5" s="20">
        <v>950</v>
      </c>
      <c r="C5" s="20">
        <v>1320</v>
      </c>
      <c r="D5" s="20">
        <v>1580</v>
      </c>
      <c r="E5" s="20">
        <v>2230</v>
      </c>
      <c r="F5" s="20">
        <v>990</v>
      </c>
      <c r="G5" s="20">
        <v>1870</v>
      </c>
      <c r="H5" s="20">
        <v>1445</v>
      </c>
      <c r="I5" s="20">
        <v>1270</v>
      </c>
      <c r="J5" s="20">
        <v>845</v>
      </c>
      <c r="K5" s="20">
        <v>3020</v>
      </c>
    </row>
    <row r="6" spans="1:11" x14ac:dyDescent="0.45">
      <c r="A6" s="27" t="s">
        <v>3</v>
      </c>
      <c r="B6" s="20">
        <v>15</v>
      </c>
      <c r="C6" s="20">
        <v>8</v>
      </c>
      <c r="D6" s="20">
        <v>10</v>
      </c>
      <c r="E6" s="20">
        <v>20</v>
      </c>
      <c r="F6" s="20">
        <v>14</v>
      </c>
      <c r="G6" s="20">
        <v>0</v>
      </c>
      <c r="H6" s="20">
        <v>18</v>
      </c>
      <c r="I6" s="20">
        <v>25</v>
      </c>
      <c r="J6" s="20">
        <v>32</v>
      </c>
      <c r="K6" s="20">
        <v>12</v>
      </c>
    </row>
    <row r="7" spans="1:11" x14ac:dyDescent="0.45">
      <c r="A7" s="27" t="s">
        <v>4</v>
      </c>
      <c r="B7" s="20">
        <v>22</v>
      </c>
      <c r="C7" s="20">
        <v>14</v>
      </c>
      <c r="D7" s="20">
        <v>0</v>
      </c>
      <c r="E7" s="20">
        <v>47</v>
      </c>
      <c r="F7" s="20">
        <v>1.5</v>
      </c>
      <c r="G7" s="20">
        <v>22</v>
      </c>
      <c r="H7" s="20">
        <v>0</v>
      </c>
      <c r="I7" s="20">
        <v>18</v>
      </c>
      <c r="J7" s="20">
        <v>24</v>
      </c>
      <c r="K7" s="20">
        <v>18</v>
      </c>
    </row>
    <row r="8" spans="1:11" x14ac:dyDescent="0.45">
      <c r="A8" s="27" t="s">
        <v>5</v>
      </c>
      <c r="B8" s="20">
        <v>17</v>
      </c>
      <c r="C8" s="20">
        <v>11</v>
      </c>
      <c r="D8" s="20">
        <v>26</v>
      </c>
      <c r="E8" s="20">
        <v>0</v>
      </c>
      <c r="F8" s="20">
        <v>16</v>
      </c>
      <c r="G8" s="20">
        <v>31</v>
      </c>
      <c r="H8" s="20">
        <v>23</v>
      </c>
      <c r="I8" s="20">
        <v>0</v>
      </c>
      <c r="J8" s="20">
        <v>3</v>
      </c>
      <c r="K8" s="20">
        <v>35</v>
      </c>
    </row>
    <row r="9" spans="1:11" x14ac:dyDescent="0.45">
      <c r="A9" s="27" t="s">
        <v>6</v>
      </c>
      <c r="B9" s="20">
        <v>30</v>
      </c>
      <c r="C9" s="20">
        <v>16</v>
      </c>
      <c r="D9" s="20">
        <v>12</v>
      </c>
      <c r="E9" s="20">
        <v>9</v>
      </c>
      <c r="F9" s="20">
        <v>0</v>
      </c>
      <c r="G9" s="20">
        <v>10</v>
      </c>
      <c r="H9" s="20">
        <v>5</v>
      </c>
      <c r="I9" s="20">
        <v>7</v>
      </c>
      <c r="J9" s="20">
        <v>0</v>
      </c>
      <c r="K9" s="20">
        <v>8</v>
      </c>
    </row>
    <row r="10" spans="1:11" x14ac:dyDescent="0.45">
      <c r="A10" s="19" t="s">
        <v>7</v>
      </c>
      <c r="B10" s="20">
        <v>130000</v>
      </c>
      <c r="C10" s="20">
        <v>222000</v>
      </c>
      <c r="D10" s="20">
        <v>520000</v>
      </c>
      <c r="E10" s="20">
        <v>315000</v>
      </c>
      <c r="F10" s="20">
        <v>127000</v>
      </c>
      <c r="G10" s="20">
        <v>248000</v>
      </c>
      <c r="H10" s="20">
        <v>470000</v>
      </c>
      <c r="I10" s="20">
        <v>196000</v>
      </c>
      <c r="J10" s="20">
        <v>256000</v>
      </c>
      <c r="K10" s="20">
        <v>309000</v>
      </c>
    </row>
    <row r="11" spans="1:11" x14ac:dyDescent="0.45">
      <c r="A11" s="19" t="s">
        <v>8</v>
      </c>
      <c r="B11" s="21">
        <v>45017</v>
      </c>
      <c r="C11" s="21">
        <v>44958</v>
      </c>
      <c r="D11" s="21">
        <v>45214</v>
      </c>
      <c r="E11" s="21">
        <v>44941</v>
      </c>
      <c r="F11" s="21">
        <v>44986</v>
      </c>
      <c r="G11" s="21">
        <v>45139</v>
      </c>
      <c r="H11" s="21">
        <v>45184</v>
      </c>
      <c r="I11" s="21">
        <v>45245</v>
      </c>
      <c r="J11" s="21">
        <v>45047</v>
      </c>
      <c r="K11" s="21">
        <v>45108</v>
      </c>
    </row>
    <row r="12" spans="1:11" x14ac:dyDescent="0.45">
      <c r="A12" s="28" t="s">
        <v>9</v>
      </c>
      <c r="B12" s="29">
        <v>9</v>
      </c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45">
      <c r="A13" s="19" t="s">
        <v>10</v>
      </c>
      <c r="B13" s="20">
        <v>540000</v>
      </c>
      <c r="C13" s="20">
        <v>780000</v>
      </c>
      <c r="D13" s="20">
        <v>110000</v>
      </c>
      <c r="E13" s="20">
        <v>198000</v>
      </c>
      <c r="F13" s="20">
        <v>170000</v>
      </c>
      <c r="G13" s="20">
        <v>56000</v>
      </c>
      <c r="H13" s="20">
        <v>94000</v>
      </c>
      <c r="I13" s="20">
        <v>187000</v>
      </c>
      <c r="J13" s="20">
        <v>204000</v>
      </c>
      <c r="K13" s="20">
        <v>125000</v>
      </c>
    </row>
    <row r="14" spans="1:11" x14ac:dyDescent="0.45">
      <c r="A14" s="19" t="s">
        <v>11</v>
      </c>
      <c r="B14" s="21">
        <v>45245</v>
      </c>
      <c r="C14" s="21">
        <v>45122</v>
      </c>
      <c r="D14" s="21">
        <v>45139</v>
      </c>
      <c r="E14" s="21">
        <v>45017</v>
      </c>
      <c r="F14" s="21">
        <v>45214</v>
      </c>
      <c r="G14" s="21">
        <v>45245</v>
      </c>
      <c r="H14" s="21">
        <v>44958</v>
      </c>
      <c r="I14" s="21">
        <v>45261</v>
      </c>
      <c r="J14" s="21">
        <v>45184</v>
      </c>
      <c r="K14" s="21">
        <v>45000</v>
      </c>
    </row>
    <row r="15" spans="1:11" x14ac:dyDescent="0.45">
      <c r="A15" s="28" t="s">
        <v>9</v>
      </c>
      <c r="B15" s="29">
        <v>10.5</v>
      </c>
      <c r="C15" s="29"/>
      <c r="D15" s="29"/>
      <c r="E15" s="29"/>
      <c r="F15" s="29"/>
      <c r="G15" s="29"/>
      <c r="H15" s="29"/>
      <c r="I15" s="29"/>
      <c r="J15" s="29"/>
      <c r="K15" s="29"/>
    </row>
    <row r="16" spans="1:11" ht="26.65" x14ac:dyDescent="0.45">
      <c r="A16" s="30" t="s">
        <v>12</v>
      </c>
      <c r="B16" s="20">
        <v>102</v>
      </c>
      <c r="C16" s="20">
        <v>155</v>
      </c>
      <c r="D16" s="20">
        <v>306</v>
      </c>
      <c r="E16" s="20">
        <v>177</v>
      </c>
      <c r="F16" s="20">
        <v>250</v>
      </c>
      <c r="G16" s="20">
        <v>111</v>
      </c>
      <c r="H16" s="20">
        <v>98</v>
      </c>
      <c r="I16" s="20">
        <v>140</v>
      </c>
      <c r="J16" s="20">
        <v>163</v>
      </c>
      <c r="K16" s="20">
        <v>294</v>
      </c>
    </row>
    <row r="17" spans="1:11" x14ac:dyDescent="0.45">
      <c r="A17" s="31" t="s">
        <v>13</v>
      </c>
      <c r="B17" s="32">
        <f>B5-SUM(B6:B9)+B10/1000*B12/12-B13/1000*(12-B15)/12</f>
        <v>896</v>
      </c>
      <c r="C17" s="32"/>
      <c r="D17" s="32"/>
      <c r="E17" s="32"/>
      <c r="F17" s="32"/>
      <c r="G17" s="32"/>
      <c r="H17" s="32"/>
      <c r="I17" s="32"/>
      <c r="J17" s="32"/>
      <c r="K17" s="32"/>
    </row>
    <row r="18" spans="1:11" x14ac:dyDescent="0.45">
      <c r="A18" s="31" t="s">
        <v>14</v>
      </c>
      <c r="B18" s="32">
        <f>B16/(B17/100)</f>
        <v>11.383928571428571</v>
      </c>
      <c r="C18" s="32"/>
      <c r="D18" s="32"/>
      <c r="E18" s="32"/>
      <c r="F18" s="32"/>
      <c r="G18" s="32"/>
      <c r="H18" s="32"/>
      <c r="I18" s="32"/>
      <c r="J18" s="32"/>
      <c r="K18" s="32"/>
    </row>
    <row r="20" spans="1:11" x14ac:dyDescent="0.45">
      <c r="A20" s="17" t="s">
        <v>42</v>
      </c>
      <c r="B20">
        <v>4</v>
      </c>
    </row>
    <row r="21" spans="1:11" x14ac:dyDescent="0.45">
      <c r="A21" s="17" t="s">
        <v>43</v>
      </c>
      <c r="B21">
        <f>B20*B16/B17*100</f>
        <v>45.535714285714285</v>
      </c>
    </row>
  </sheetData>
  <mergeCells count="2">
    <mergeCell ref="A3:A4"/>
    <mergeCell ref="B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10E6-DE59-4002-8928-C61E35F9E366}">
  <dimension ref="A1:W36"/>
  <sheetViews>
    <sheetView workbookViewId="0">
      <selection activeCell="N21" sqref="N21"/>
    </sheetView>
  </sheetViews>
  <sheetFormatPr defaultRowHeight="14.25" x14ac:dyDescent="0.45"/>
  <cols>
    <col min="1" max="1" width="27.1328125" customWidth="1"/>
    <col min="13" max="13" width="28.73046875" customWidth="1"/>
    <col min="14" max="14" width="12.265625" bestFit="1" customWidth="1"/>
  </cols>
  <sheetData>
    <row r="1" spans="1:23" ht="18" x14ac:dyDescent="0.55000000000000004">
      <c r="A1" s="42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8" x14ac:dyDescent="0.55000000000000004">
      <c r="A2" s="22" t="s">
        <v>45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17"/>
      <c r="M2" s="43" t="s">
        <v>46</v>
      </c>
      <c r="N2" s="35">
        <v>1</v>
      </c>
      <c r="O2" s="35">
        <v>2</v>
      </c>
      <c r="P2" s="35">
        <v>3</v>
      </c>
      <c r="Q2" s="35">
        <v>4</v>
      </c>
      <c r="R2" s="35">
        <v>5</v>
      </c>
      <c r="S2" s="35">
        <v>6</v>
      </c>
      <c r="T2" s="35">
        <v>7</v>
      </c>
      <c r="U2" s="35">
        <v>8</v>
      </c>
      <c r="V2" s="35">
        <v>9</v>
      </c>
      <c r="W2" s="35">
        <v>10</v>
      </c>
    </row>
    <row r="3" spans="1:23" x14ac:dyDescent="0.45">
      <c r="A3" s="49" t="s">
        <v>47</v>
      </c>
      <c r="B3" s="50" t="s">
        <v>1</v>
      </c>
      <c r="C3" s="50"/>
      <c r="D3" s="50"/>
      <c r="E3" s="50"/>
      <c r="F3" s="50"/>
      <c r="G3" s="50"/>
      <c r="H3" s="50"/>
      <c r="I3" s="50"/>
      <c r="J3" s="50"/>
      <c r="K3" s="50"/>
      <c r="L3" s="17"/>
      <c r="M3" s="36" t="s">
        <v>48</v>
      </c>
      <c r="N3" s="37">
        <f>(N15/N9)*100</f>
        <v>93.81808278867102</v>
      </c>
      <c r="O3" s="37"/>
      <c r="P3" s="37"/>
      <c r="Q3" s="37"/>
      <c r="R3" s="37"/>
      <c r="S3" s="37"/>
      <c r="T3" s="37"/>
      <c r="U3" s="37"/>
      <c r="V3" s="37"/>
      <c r="W3" s="37"/>
    </row>
    <row r="4" spans="1:23" x14ac:dyDescent="0.45">
      <c r="A4" s="49"/>
      <c r="B4" s="38">
        <v>1</v>
      </c>
      <c r="C4" s="38">
        <v>2</v>
      </c>
      <c r="D4" s="38">
        <v>3</v>
      </c>
      <c r="E4" s="38">
        <v>4</v>
      </c>
      <c r="F4" s="38">
        <v>5</v>
      </c>
      <c r="G4" s="38">
        <v>6</v>
      </c>
      <c r="H4" s="38">
        <v>7</v>
      </c>
      <c r="I4" s="38">
        <v>8</v>
      </c>
      <c r="J4" s="38">
        <v>9</v>
      </c>
      <c r="K4" s="38">
        <v>10</v>
      </c>
      <c r="L4" s="17"/>
      <c r="M4" s="36" t="s">
        <v>49</v>
      </c>
      <c r="N4" s="37">
        <f t="shared" ref="N4:N7" si="0">(N16/N10)*100</f>
        <v>106.58925979680696</v>
      </c>
      <c r="O4" s="37"/>
      <c r="P4" s="37"/>
      <c r="Q4" s="37"/>
      <c r="R4" s="37"/>
      <c r="S4" s="37"/>
      <c r="T4" s="37"/>
      <c r="U4" s="37"/>
      <c r="V4" s="37"/>
      <c r="W4" s="37"/>
    </row>
    <row r="5" spans="1:23" x14ac:dyDescent="0.45">
      <c r="A5" s="38" t="s">
        <v>50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17"/>
      <c r="M5" s="36" t="s">
        <v>51</v>
      </c>
      <c r="N5" s="37">
        <f t="shared" si="0"/>
        <v>112.29946524064169</v>
      </c>
      <c r="O5" s="37"/>
      <c r="P5" s="37"/>
      <c r="Q5" s="37"/>
      <c r="R5" s="37"/>
      <c r="S5" s="37"/>
      <c r="T5" s="37"/>
      <c r="U5" s="37"/>
      <c r="V5" s="37"/>
      <c r="W5" s="37"/>
    </row>
    <row r="6" spans="1:23" x14ac:dyDescent="0.45">
      <c r="A6" s="39" t="s">
        <v>52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17"/>
      <c r="M6" s="36" t="s">
        <v>53</v>
      </c>
      <c r="N6" s="37">
        <f t="shared" si="0"/>
        <v>112.65846453012227</v>
      </c>
      <c r="O6" s="37"/>
      <c r="P6" s="37"/>
      <c r="Q6" s="37"/>
      <c r="R6" s="37"/>
      <c r="S6" s="37"/>
      <c r="T6" s="37"/>
      <c r="U6" s="37"/>
      <c r="V6" s="37"/>
      <c r="W6" s="37"/>
    </row>
    <row r="7" spans="1:23" x14ac:dyDescent="0.45">
      <c r="A7" s="39" t="s">
        <v>54</v>
      </c>
      <c r="B7" s="39">
        <v>2000</v>
      </c>
      <c r="C7" s="39">
        <v>2500</v>
      </c>
      <c r="D7" s="39">
        <v>3600</v>
      </c>
      <c r="E7" s="39">
        <v>3500</v>
      </c>
      <c r="F7" s="39">
        <v>4000</v>
      </c>
      <c r="G7" s="39">
        <v>4200</v>
      </c>
      <c r="H7" s="39">
        <v>5000</v>
      </c>
      <c r="I7" s="39">
        <v>6000</v>
      </c>
      <c r="J7" s="39">
        <v>7700</v>
      </c>
      <c r="K7" s="39">
        <v>8000</v>
      </c>
      <c r="L7" s="17"/>
      <c r="M7" s="36" t="s">
        <v>55</v>
      </c>
      <c r="N7" s="37">
        <f t="shared" si="0"/>
        <v>76.919339164237115</v>
      </c>
      <c r="O7" s="37"/>
      <c r="P7" s="37"/>
      <c r="Q7" s="37"/>
      <c r="R7" s="37"/>
      <c r="S7" s="37"/>
      <c r="T7" s="37"/>
      <c r="U7" s="37"/>
      <c r="V7" s="37"/>
      <c r="W7" s="37"/>
    </row>
    <row r="8" spans="1:23" x14ac:dyDescent="0.45">
      <c r="A8" s="39" t="s">
        <v>56</v>
      </c>
      <c r="B8" s="39">
        <v>1000</v>
      </c>
      <c r="C8" s="39">
        <v>1100</v>
      </c>
      <c r="D8" s="39">
        <v>1800</v>
      </c>
      <c r="E8" s="39">
        <v>1500</v>
      </c>
      <c r="F8" s="39">
        <v>2500</v>
      </c>
      <c r="G8" s="39">
        <v>3000</v>
      </c>
      <c r="H8" s="39">
        <v>3400</v>
      </c>
      <c r="I8" s="39">
        <v>4100</v>
      </c>
      <c r="J8" s="39">
        <v>4800</v>
      </c>
      <c r="K8" s="39">
        <v>5300</v>
      </c>
      <c r="L8" s="17"/>
      <c r="M8" s="40" t="s">
        <v>57</v>
      </c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x14ac:dyDescent="0.45">
      <c r="A9" s="39" t="s">
        <v>58</v>
      </c>
      <c r="B9" s="39">
        <v>6400</v>
      </c>
      <c r="C9" s="39">
        <v>5000</v>
      </c>
      <c r="D9" s="39">
        <v>4800</v>
      </c>
      <c r="E9" s="39">
        <v>4600</v>
      </c>
      <c r="F9" s="39">
        <v>4200</v>
      </c>
      <c r="G9" s="39">
        <v>5100</v>
      </c>
      <c r="H9" s="39">
        <v>5000</v>
      </c>
      <c r="I9" s="39">
        <v>3600</v>
      </c>
      <c r="J9" s="39">
        <v>3900</v>
      </c>
      <c r="K9" s="39">
        <v>4000</v>
      </c>
      <c r="L9" s="17"/>
      <c r="M9" s="36" t="s">
        <v>59</v>
      </c>
      <c r="N9" s="37">
        <f>(B7*B11+B8*B12+B9*B13)/(B18*1000)</f>
        <v>1.5793548387096774</v>
      </c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45">
      <c r="A10" s="39" t="s">
        <v>60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17"/>
      <c r="M10" s="36" t="s">
        <v>61</v>
      </c>
      <c r="N10" s="37">
        <f>(B18*1000)/(B7*B11+B8*B12+B9*B13)</f>
        <v>0.63316993464052285</v>
      </c>
      <c r="O10" s="37"/>
      <c r="P10" s="37"/>
      <c r="Q10" s="37"/>
      <c r="R10" s="37"/>
      <c r="S10" s="37"/>
      <c r="T10" s="37"/>
      <c r="U10" s="37"/>
      <c r="V10" s="37"/>
      <c r="W10" s="37"/>
    </row>
    <row r="11" spans="1:23" x14ac:dyDescent="0.45">
      <c r="A11" s="39" t="s">
        <v>54</v>
      </c>
      <c r="B11" s="39">
        <v>300</v>
      </c>
      <c r="C11" s="39">
        <v>200</v>
      </c>
      <c r="D11" s="39">
        <v>150</v>
      </c>
      <c r="E11" s="39">
        <v>180</v>
      </c>
      <c r="F11" s="39">
        <v>220</v>
      </c>
      <c r="G11" s="39">
        <v>350</v>
      </c>
      <c r="H11" s="39">
        <v>400</v>
      </c>
      <c r="I11" s="39">
        <v>370</v>
      </c>
      <c r="J11" s="39">
        <v>460</v>
      </c>
      <c r="K11" s="39">
        <v>520</v>
      </c>
      <c r="L11" s="17"/>
      <c r="M11" s="36" t="s">
        <v>62</v>
      </c>
      <c r="N11" s="37">
        <f>(B18*1000)/B20</f>
        <v>349.88713318284425</v>
      </c>
      <c r="O11" s="37"/>
      <c r="P11" s="37"/>
      <c r="Q11" s="37"/>
      <c r="R11" s="37"/>
      <c r="S11" s="37"/>
      <c r="T11" s="37"/>
      <c r="U11" s="37"/>
      <c r="V11" s="37"/>
      <c r="W11" s="37"/>
    </row>
    <row r="12" spans="1:23" x14ac:dyDescent="0.45">
      <c r="A12" s="39" t="s">
        <v>56</v>
      </c>
      <c r="B12" s="39">
        <v>120</v>
      </c>
      <c r="C12" s="39">
        <v>110</v>
      </c>
      <c r="D12" s="39">
        <v>85</v>
      </c>
      <c r="E12" s="39">
        <v>140</v>
      </c>
      <c r="F12" s="39">
        <v>160</v>
      </c>
      <c r="G12" s="39">
        <v>170</v>
      </c>
      <c r="H12" s="39">
        <v>235</v>
      </c>
      <c r="I12" s="39">
        <v>270</v>
      </c>
      <c r="J12" s="39">
        <v>300</v>
      </c>
      <c r="K12" s="39">
        <v>190</v>
      </c>
      <c r="L12" s="17"/>
      <c r="M12" s="36" t="s">
        <v>63</v>
      </c>
      <c r="N12" s="37">
        <f>(B18-B19)*1000/B20</f>
        <v>322.79909706546277</v>
      </c>
      <c r="O12" s="37"/>
      <c r="P12" s="37"/>
      <c r="Q12" s="37"/>
      <c r="R12" s="37"/>
      <c r="S12" s="37"/>
      <c r="T12" s="37"/>
      <c r="U12" s="37"/>
      <c r="V12" s="37"/>
      <c r="W12" s="37"/>
    </row>
    <row r="13" spans="1:23" x14ac:dyDescent="0.45">
      <c r="A13" s="39" t="s">
        <v>58</v>
      </c>
      <c r="B13" s="39">
        <v>270</v>
      </c>
      <c r="C13" s="39">
        <v>460</v>
      </c>
      <c r="D13" s="39">
        <v>100</v>
      </c>
      <c r="E13" s="39">
        <v>360</v>
      </c>
      <c r="F13" s="39">
        <v>450</v>
      </c>
      <c r="G13" s="39">
        <v>200</v>
      </c>
      <c r="H13" s="39">
        <v>90</v>
      </c>
      <c r="I13" s="39">
        <v>140</v>
      </c>
      <c r="J13" s="39">
        <v>230</v>
      </c>
      <c r="K13" s="39">
        <v>200</v>
      </c>
      <c r="L13" s="17"/>
      <c r="M13" s="36" t="s">
        <v>64</v>
      </c>
      <c r="N13" s="37">
        <f>((B7*B11+B8*B12+B9*B13)-(B7*B15+B8*B16+B9*B17))/(B18*1000)*100</f>
        <v>50.580645161290327</v>
      </c>
      <c r="O13" s="37"/>
      <c r="P13" s="37"/>
      <c r="Q13" s="37"/>
      <c r="R13" s="37"/>
      <c r="S13" s="37"/>
      <c r="T13" s="37"/>
      <c r="U13" s="37"/>
      <c r="V13" s="37"/>
      <c r="W13" s="37"/>
    </row>
    <row r="14" spans="1:23" x14ac:dyDescent="0.45">
      <c r="A14" s="39" t="s">
        <v>65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17"/>
      <c r="M14" s="40" t="s">
        <v>66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 spans="1:23" x14ac:dyDescent="0.45">
      <c r="A15" s="39" t="s">
        <v>54</v>
      </c>
      <c r="B15" s="39">
        <v>200</v>
      </c>
      <c r="C15" s="39">
        <v>110</v>
      </c>
      <c r="D15" s="39">
        <v>100</v>
      </c>
      <c r="E15" s="39">
        <v>100</v>
      </c>
      <c r="F15" s="39">
        <v>150</v>
      </c>
      <c r="G15" s="39">
        <v>280</v>
      </c>
      <c r="H15" s="39">
        <v>300</v>
      </c>
      <c r="I15" s="39">
        <v>190</v>
      </c>
      <c r="J15" s="39">
        <v>320</v>
      </c>
      <c r="K15" s="39">
        <v>450</v>
      </c>
      <c r="L15" s="17"/>
      <c r="M15" s="36" t="s">
        <v>59</v>
      </c>
      <c r="N15" s="37">
        <f>(B23*B27+B24*B28+B25*B29)/(((B18*1000)/100)*B34+(B18*1000))</f>
        <v>1.4817204301075269</v>
      </c>
      <c r="O15" s="37"/>
      <c r="P15" s="37"/>
      <c r="Q15" s="37"/>
      <c r="R15" s="37"/>
      <c r="S15" s="37"/>
      <c r="T15" s="37"/>
      <c r="U15" s="37"/>
      <c r="V15" s="37"/>
      <c r="W15" s="37"/>
    </row>
    <row r="16" spans="1:23" x14ac:dyDescent="0.45">
      <c r="A16" s="39" t="s">
        <v>56</v>
      </c>
      <c r="B16" s="39">
        <v>80</v>
      </c>
      <c r="C16" s="39">
        <v>60</v>
      </c>
      <c r="D16" s="39">
        <v>50</v>
      </c>
      <c r="E16" s="39">
        <v>95</v>
      </c>
      <c r="F16" s="39">
        <v>120</v>
      </c>
      <c r="G16" s="39">
        <v>110</v>
      </c>
      <c r="H16" s="39">
        <v>170</v>
      </c>
      <c r="I16" s="39">
        <v>210</v>
      </c>
      <c r="J16" s="39">
        <v>205</v>
      </c>
      <c r="K16" s="39">
        <v>140</v>
      </c>
      <c r="L16" s="17"/>
      <c r="M16" s="36" t="s">
        <v>61</v>
      </c>
      <c r="N16" s="37">
        <f>(((B18*1000)/100)*B34+(B18*1000))/(B23*B27+B24*B28+B25*B29)</f>
        <v>0.67489114658925975</v>
      </c>
      <c r="O16" s="37"/>
      <c r="P16" s="37"/>
      <c r="Q16" s="37"/>
      <c r="R16" s="37"/>
      <c r="S16" s="37"/>
      <c r="T16" s="37"/>
      <c r="U16" s="37"/>
      <c r="V16" s="37"/>
      <c r="W16" s="37"/>
    </row>
    <row r="17" spans="1:23" x14ac:dyDescent="0.45">
      <c r="A17" s="39" t="s">
        <v>58</v>
      </c>
      <c r="B17" s="39">
        <v>185</v>
      </c>
      <c r="C17" s="39">
        <v>390</v>
      </c>
      <c r="D17" s="39">
        <v>75</v>
      </c>
      <c r="E17" s="39">
        <v>300</v>
      </c>
      <c r="F17" s="39">
        <v>410</v>
      </c>
      <c r="G17" s="39">
        <v>160</v>
      </c>
      <c r="H17" s="39">
        <v>55</v>
      </c>
      <c r="I17" s="39">
        <v>100</v>
      </c>
      <c r="J17" s="39">
        <v>170</v>
      </c>
      <c r="K17" s="39">
        <v>165</v>
      </c>
      <c r="L17" s="17"/>
      <c r="M17" s="36" t="s">
        <v>62</v>
      </c>
      <c r="N17" s="37">
        <f>(((B18*1000)/100)*B34+(B18*1000))/(B20-((B20/100)*B36))</f>
        <v>392.92137951014593</v>
      </c>
      <c r="O17" s="37"/>
      <c r="P17" s="37"/>
      <c r="Q17" s="37"/>
      <c r="R17" s="37"/>
      <c r="S17" s="37"/>
      <c r="T17" s="37"/>
      <c r="U17" s="37"/>
      <c r="V17" s="37"/>
      <c r="W17" s="37"/>
    </row>
    <row r="18" spans="1:23" x14ac:dyDescent="0.45">
      <c r="A18" s="39" t="s">
        <v>67</v>
      </c>
      <c r="B18" s="39">
        <v>1550</v>
      </c>
      <c r="C18" s="39">
        <v>1420</v>
      </c>
      <c r="D18" s="39">
        <v>1630</v>
      </c>
      <c r="E18" s="39">
        <v>1510</v>
      </c>
      <c r="F18" s="39">
        <v>1620</v>
      </c>
      <c r="G18" s="39">
        <v>1480</v>
      </c>
      <c r="H18" s="39">
        <v>1390</v>
      </c>
      <c r="I18" s="39">
        <v>1460</v>
      </c>
      <c r="J18" s="39">
        <v>1600</v>
      </c>
      <c r="K18" s="39">
        <v>1570</v>
      </c>
      <c r="L18" s="17"/>
      <c r="M18" s="36" t="s">
        <v>63</v>
      </c>
      <c r="N18" s="37">
        <f>((((B18*1000)/100)*B34+(B18*1000))-(B19*1000+(B19*1000/100)*B35))/(B20-((B20/100)*B36))</f>
        <v>363.66050627104937</v>
      </c>
      <c r="O18" s="37"/>
      <c r="P18" s="37"/>
      <c r="Q18" s="37"/>
      <c r="R18" s="37"/>
      <c r="S18" s="37"/>
      <c r="T18" s="37"/>
      <c r="U18" s="37"/>
      <c r="V18" s="37"/>
      <c r="W18" s="37"/>
    </row>
    <row r="19" spans="1:23" x14ac:dyDescent="0.45">
      <c r="A19" s="39" t="s">
        <v>68</v>
      </c>
      <c r="B19" s="39">
        <v>120</v>
      </c>
      <c r="C19" s="39">
        <v>130</v>
      </c>
      <c r="D19" s="39">
        <v>140</v>
      </c>
      <c r="E19" s="39">
        <v>100</v>
      </c>
      <c r="F19" s="39">
        <v>130</v>
      </c>
      <c r="G19" s="39">
        <v>120</v>
      </c>
      <c r="H19" s="39">
        <v>140</v>
      </c>
      <c r="I19" s="39">
        <v>90</v>
      </c>
      <c r="J19" s="39">
        <v>120</v>
      </c>
      <c r="K19" s="39">
        <v>130</v>
      </c>
      <c r="L19" s="17"/>
      <c r="M19" s="36" t="s">
        <v>64</v>
      </c>
      <c r="N19" s="37">
        <f>((B23*B27+B24*B28+B25*B29)-(B23*B31+B24*B32+B25*B33))/(((B18*1000)/100)*B34+(B18*1000))*100</f>
        <v>38.906298003072202</v>
      </c>
      <c r="O19" s="37"/>
      <c r="P19" s="37"/>
      <c r="Q19" s="37"/>
      <c r="R19" s="37"/>
      <c r="S19" s="37"/>
      <c r="T19" s="37"/>
      <c r="U19" s="37"/>
      <c r="V19" s="37"/>
      <c r="W19" s="37"/>
    </row>
    <row r="20" spans="1:23" x14ac:dyDescent="0.45">
      <c r="A20" s="39" t="s">
        <v>69</v>
      </c>
      <c r="B20" s="39">
        <v>4430</v>
      </c>
      <c r="C20" s="39">
        <v>6520</v>
      </c>
      <c r="D20" s="39">
        <v>7500</v>
      </c>
      <c r="E20" s="39">
        <v>2130</v>
      </c>
      <c r="F20" s="39">
        <v>5555</v>
      </c>
      <c r="G20" s="39">
        <v>6520</v>
      </c>
      <c r="H20" s="39">
        <v>4800</v>
      </c>
      <c r="I20" s="39">
        <v>3640</v>
      </c>
      <c r="J20" s="39">
        <v>4750</v>
      </c>
      <c r="K20" s="39">
        <v>6900</v>
      </c>
      <c r="L20" s="17"/>
      <c r="M20" s="17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x14ac:dyDescent="0.45">
      <c r="A21" s="38" t="s">
        <v>70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x14ac:dyDescent="0.45">
      <c r="A22" s="39" t="s">
        <v>52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x14ac:dyDescent="0.45">
      <c r="A23" s="39" t="s">
        <v>54</v>
      </c>
      <c r="B23" s="39">
        <v>2020</v>
      </c>
      <c r="C23" s="39">
        <v>2600</v>
      </c>
      <c r="D23" s="39">
        <v>3100</v>
      </c>
      <c r="E23" s="39">
        <v>3600</v>
      </c>
      <c r="F23" s="39">
        <v>4200</v>
      </c>
      <c r="G23" s="39">
        <v>4000</v>
      </c>
      <c r="H23" s="39">
        <v>5500</v>
      </c>
      <c r="I23" s="39">
        <v>5500</v>
      </c>
      <c r="J23" s="39">
        <v>7800</v>
      </c>
      <c r="K23" s="39">
        <v>8100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x14ac:dyDescent="0.45">
      <c r="A24" s="39" t="s">
        <v>56</v>
      </c>
      <c r="B24" s="39">
        <v>1050</v>
      </c>
      <c r="C24" s="39">
        <v>1200</v>
      </c>
      <c r="D24" s="39">
        <v>1300</v>
      </c>
      <c r="E24" s="39">
        <v>1650</v>
      </c>
      <c r="F24" s="39">
        <v>2600</v>
      </c>
      <c r="G24" s="39">
        <v>3100</v>
      </c>
      <c r="H24" s="39">
        <v>3500</v>
      </c>
      <c r="I24" s="39">
        <v>4150</v>
      </c>
      <c r="J24" s="39">
        <v>4900</v>
      </c>
      <c r="K24" s="39">
        <v>5500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x14ac:dyDescent="0.45">
      <c r="A25" s="39" t="s">
        <v>58</v>
      </c>
      <c r="B25" s="39">
        <v>6500</v>
      </c>
      <c r="C25" s="39">
        <v>5200</v>
      </c>
      <c r="D25" s="39">
        <v>5000</v>
      </c>
      <c r="E25" s="39">
        <v>4700</v>
      </c>
      <c r="F25" s="39">
        <v>4300</v>
      </c>
      <c r="G25" s="39">
        <v>5200</v>
      </c>
      <c r="H25" s="39">
        <v>5100</v>
      </c>
      <c r="I25" s="39">
        <v>3700</v>
      </c>
      <c r="J25" s="39">
        <v>4000</v>
      </c>
      <c r="K25" s="39">
        <v>4300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x14ac:dyDescent="0.45">
      <c r="A26" s="39" t="s">
        <v>60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x14ac:dyDescent="0.45">
      <c r="A27" s="39" t="s">
        <v>54</v>
      </c>
      <c r="B27" s="39">
        <v>300</v>
      </c>
      <c r="C27" s="39">
        <v>210</v>
      </c>
      <c r="D27" s="39">
        <v>160</v>
      </c>
      <c r="E27" s="39">
        <v>185</v>
      </c>
      <c r="F27" s="39">
        <v>230</v>
      </c>
      <c r="G27" s="39">
        <v>360</v>
      </c>
      <c r="H27" s="39">
        <v>390</v>
      </c>
      <c r="I27" s="39">
        <v>360</v>
      </c>
      <c r="J27" s="39">
        <v>450</v>
      </c>
      <c r="K27" s="39">
        <v>500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x14ac:dyDescent="0.45">
      <c r="A28" s="39" t="s">
        <v>56</v>
      </c>
      <c r="B28" s="39">
        <v>110</v>
      </c>
      <c r="C28" s="39">
        <v>100</v>
      </c>
      <c r="D28" s="39">
        <v>100</v>
      </c>
      <c r="E28" s="39">
        <v>150</v>
      </c>
      <c r="F28" s="39">
        <v>170</v>
      </c>
      <c r="G28" s="39">
        <v>160</v>
      </c>
      <c r="H28" s="39">
        <v>230</v>
      </c>
      <c r="I28" s="39">
        <v>260</v>
      </c>
      <c r="J28" s="39">
        <v>310</v>
      </c>
      <c r="K28" s="39">
        <v>200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x14ac:dyDescent="0.45">
      <c r="A29" s="39" t="s">
        <v>58</v>
      </c>
      <c r="B29" s="39">
        <v>260</v>
      </c>
      <c r="C29" s="39">
        <v>450</v>
      </c>
      <c r="D29" s="39">
        <v>90</v>
      </c>
      <c r="E29" s="39">
        <v>350</v>
      </c>
      <c r="F29" s="39">
        <v>440</v>
      </c>
      <c r="G29" s="39">
        <v>190</v>
      </c>
      <c r="H29" s="39">
        <v>100</v>
      </c>
      <c r="I29" s="39">
        <v>130</v>
      </c>
      <c r="J29" s="39">
        <v>220</v>
      </c>
      <c r="K29" s="39">
        <v>190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x14ac:dyDescent="0.45">
      <c r="A30" s="39" t="s">
        <v>65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x14ac:dyDescent="0.45">
      <c r="A31" s="39" t="s">
        <v>54</v>
      </c>
      <c r="B31" s="39">
        <v>190</v>
      </c>
      <c r="C31" s="39">
        <v>100</v>
      </c>
      <c r="D31" s="39">
        <v>150</v>
      </c>
      <c r="E31" s="39">
        <v>140</v>
      </c>
      <c r="F31" s="39">
        <v>200</v>
      </c>
      <c r="G31" s="39">
        <v>300</v>
      </c>
      <c r="H31" s="39">
        <v>300</v>
      </c>
      <c r="I31" s="39">
        <v>280</v>
      </c>
      <c r="J31" s="39">
        <v>380</v>
      </c>
      <c r="K31" s="39">
        <v>400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x14ac:dyDescent="0.45">
      <c r="A32" s="39" t="s">
        <v>56</v>
      </c>
      <c r="B32" s="39">
        <v>90</v>
      </c>
      <c r="C32" s="39">
        <v>80</v>
      </c>
      <c r="D32" s="39">
        <v>75</v>
      </c>
      <c r="E32" s="39">
        <v>100</v>
      </c>
      <c r="F32" s="39">
        <v>100</v>
      </c>
      <c r="G32" s="39">
        <v>120</v>
      </c>
      <c r="H32" s="39">
        <v>150</v>
      </c>
      <c r="I32" s="39">
        <v>205</v>
      </c>
      <c r="J32" s="39">
        <v>270</v>
      </c>
      <c r="K32" s="39">
        <v>140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x14ac:dyDescent="0.45">
      <c r="A33" s="39" t="s">
        <v>58</v>
      </c>
      <c r="B33" s="39">
        <v>200</v>
      </c>
      <c r="C33" s="39">
        <v>350</v>
      </c>
      <c r="D33" s="39">
        <v>50</v>
      </c>
      <c r="E33" s="39">
        <v>290</v>
      </c>
      <c r="F33" s="39">
        <v>360</v>
      </c>
      <c r="G33" s="39">
        <v>145</v>
      </c>
      <c r="H33" s="39">
        <v>70</v>
      </c>
      <c r="I33" s="39">
        <v>90</v>
      </c>
      <c r="J33" s="39">
        <v>160</v>
      </c>
      <c r="K33" s="39">
        <v>155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x14ac:dyDescent="0.45">
      <c r="A34" s="39" t="s">
        <v>71</v>
      </c>
      <c r="B34" s="39">
        <v>5</v>
      </c>
      <c r="C34" s="39">
        <v>10</v>
      </c>
      <c r="D34" s="39">
        <v>3.5</v>
      </c>
      <c r="E34" s="39">
        <v>4.5</v>
      </c>
      <c r="F34" s="39">
        <v>6</v>
      </c>
      <c r="G34" s="39">
        <v>5</v>
      </c>
      <c r="H34" s="39">
        <v>5.5</v>
      </c>
      <c r="I34" s="39">
        <v>4</v>
      </c>
      <c r="J34" s="39">
        <v>3.5</v>
      </c>
      <c r="K34" s="39">
        <v>4.5</v>
      </c>
      <c r="L34" s="44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x14ac:dyDescent="0.45">
      <c r="A35" s="39" t="s">
        <v>72</v>
      </c>
      <c r="B35" s="39">
        <v>1</v>
      </c>
      <c r="C35" s="39">
        <v>1.5</v>
      </c>
      <c r="D35" s="39">
        <v>2</v>
      </c>
      <c r="E35" s="39">
        <v>2.5</v>
      </c>
      <c r="F35" s="39">
        <v>3.5</v>
      </c>
      <c r="G35" s="39">
        <v>1</v>
      </c>
      <c r="H35" s="39">
        <v>1.5</v>
      </c>
      <c r="I35" s="39">
        <v>2</v>
      </c>
      <c r="J35" s="39">
        <v>2.5</v>
      </c>
      <c r="K35" s="39">
        <v>3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x14ac:dyDescent="0.45">
      <c r="A36" s="39" t="s">
        <v>73</v>
      </c>
      <c r="B36" s="39">
        <v>6.5</v>
      </c>
      <c r="C36" s="39">
        <v>7</v>
      </c>
      <c r="D36" s="39">
        <v>8.5</v>
      </c>
      <c r="E36" s="39">
        <v>7</v>
      </c>
      <c r="F36" s="39">
        <v>5</v>
      </c>
      <c r="G36" s="39">
        <v>5.5</v>
      </c>
      <c r="H36" s="39">
        <v>6</v>
      </c>
      <c r="I36" s="39">
        <v>6.5</v>
      </c>
      <c r="J36" s="39">
        <v>7</v>
      </c>
      <c r="K36" s="39">
        <v>7.5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</sheetData>
  <mergeCells count="2">
    <mergeCell ref="A3:A4"/>
    <mergeCell ref="B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17B0-E4ED-4BBF-85B3-B9D349C31197}">
  <dimension ref="A1:K24"/>
  <sheetViews>
    <sheetView workbookViewId="0">
      <selection activeCell="O16" sqref="O16"/>
    </sheetView>
  </sheetViews>
  <sheetFormatPr defaultRowHeight="14.25" x14ac:dyDescent="0.45"/>
  <cols>
    <col min="1" max="1" width="37.796875" customWidth="1"/>
    <col min="2" max="2" width="9.06640625" customWidth="1"/>
  </cols>
  <sheetData>
    <row r="1" spans="1:11" ht="18" x14ac:dyDescent="0.55000000000000004">
      <c r="A1" s="42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.75" x14ac:dyDescent="0.5">
      <c r="A2" s="22" t="s">
        <v>91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45">
      <c r="A3" s="47" t="s">
        <v>0</v>
      </c>
      <c r="B3" s="48" t="s">
        <v>1</v>
      </c>
      <c r="C3" s="48"/>
      <c r="D3" s="48"/>
      <c r="E3" s="48"/>
      <c r="F3" s="48"/>
      <c r="G3" s="48"/>
      <c r="H3" s="48"/>
      <c r="I3" s="48"/>
      <c r="J3" s="48"/>
      <c r="K3" s="48"/>
    </row>
    <row r="4" spans="1:11" ht="14.35" customHeight="1" x14ac:dyDescent="0.45">
      <c r="A4" s="47"/>
      <c r="B4" s="25">
        <v>1</v>
      </c>
      <c r="C4" s="25">
        <v>2</v>
      </c>
      <c r="D4" s="25">
        <v>3</v>
      </c>
      <c r="E4" s="25">
        <v>4</v>
      </c>
      <c r="F4" s="25">
        <v>5</v>
      </c>
      <c r="G4" s="25">
        <v>6</v>
      </c>
      <c r="H4" s="25">
        <v>7</v>
      </c>
      <c r="I4" s="25">
        <v>8</v>
      </c>
      <c r="J4" s="25">
        <v>9</v>
      </c>
      <c r="K4" s="25">
        <v>10</v>
      </c>
    </row>
    <row r="5" spans="1:11" ht="14.35" customHeight="1" x14ac:dyDescent="0.45">
      <c r="A5" s="30" t="s">
        <v>74</v>
      </c>
      <c r="B5" s="20">
        <v>100</v>
      </c>
      <c r="C5" s="20">
        <v>66</v>
      </c>
      <c r="D5" s="20">
        <v>1020</v>
      </c>
      <c r="E5" s="20">
        <v>470</v>
      </c>
      <c r="F5" s="20">
        <v>215</v>
      </c>
      <c r="G5" s="20">
        <v>800</v>
      </c>
      <c r="H5" s="20">
        <v>170</v>
      </c>
      <c r="I5" s="20">
        <v>1200</v>
      </c>
      <c r="J5" s="20">
        <v>530</v>
      </c>
      <c r="K5" s="20">
        <v>385</v>
      </c>
    </row>
    <row r="6" spans="1:11" ht="14.35" customHeight="1" x14ac:dyDescent="0.45">
      <c r="A6" s="30" t="s">
        <v>75</v>
      </c>
      <c r="B6" s="20">
        <v>85</v>
      </c>
      <c r="C6" s="20">
        <v>40</v>
      </c>
      <c r="D6" s="20">
        <v>55</v>
      </c>
      <c r="E6" s="20">
        <v>96</v>
      </c>
      <c r="F6" s="20">
        <v>32</v>
      </c>
      <c r="G6" s="20">
        <v>110</v>
      </c>
      <c r="H6" s="20">
        <v>30</v>
      </c>
      <c r="I6" s="20">
        <v>47</v>
      </c>
      <c r="J6" s="20">
        <v>65</v>
      </c>
      <c r="K6" s="20">
        <v>26</v>
      </c>
    </row>
    <row r="7" spans="1:11" x14ac:dyDescent="0.45">
      <c r="A7" s="19" t="s">
        <v>76</v>
      </c>
      <c r="B7" s="20">
        <v>560</v>
      </c>
      <c r="C7" s="20">
        <v>123</v>
      </c>
      <c r="D7" s="20">
        <v>49</v>
      </c>
      <c r="E7" s="20">
        <v>90</v>
      </c>
      <c r="F7" s="20">
        <v>25</v>
      </c>
      <c r="G7" s="20">
        <v>104</v>
      </c>
      <c r="H7" s="20">
        <v>22</v>
      </c>
      <c r="I7" s="20">
        <v>33</v>
      </c>
      <c r="J7" s="20">
        <v>58</v>
      </c>
      <c r="K7" s="20">
        <v>20</v>
      </c>
    </row>
    <row r="8" spans="1:11" x14ac:dyDescent="0.45">
      <c r="A8" s="19" t="s">
        <v>77</v>
      </c>
      <c r="B8" s="20">
        <v>360</v>
      </c>
      <c r="C8" s="20">
        <v>180</v>
      </c>
      <c r="D8" s="20">
        <v>90</v>
      </c>
      <c r="E8" s="20">
        <v>360</v>
      </c>
      <c r="F8" s="20">
        <v>180</v>
      </c>
      <c r="G8" s="20">
        <v>90</v>
      </c>
      <c r="H8" s="20">
        <v>30</v>
      </c>
      <c r="I8" s="20">
        <v>360</v>
      </c>
      <c r="J8" s="20">
        <v>180</v>
      </c>
      <c r="K8" s="20">
        <v>90</v>
      </c>
    </row>
    <row r="9" spans="1:11" x14ac:dyDescent="0.45">
      <c r="A9" s="28" t="s">
        <v>78</v>
      </c>
      <c r="B9" s="32">
        <f>(B8*B7)/B5</f>
        <v>2016</v>
      </c>
      <c r="C9" s="32"/>
      <c r="D9" s="32"/>
      <c r="E9" s="32"/>
      <c r="F9" s="32"/>
      <c r="G9" s="32"/>
      <c r="H9" s="32"/>
      <c r="I9" s="32"/>
      <c r="J9" s="32"/>
      <c r="K9" s="32"/>
    </row>
    <row r="10" spans="1:11" x14ac:dyDescent="0.45">
      <c r="A10" s="28" t="s">
        <v>79</v>
      </c>
      <c r="B10" s="32">
        <f>(B8*B7)/B6</f>
        <v>2371.7647058823532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1:11" x14ac:dyDescent="0.45">
      <c r="A11" s="31" t="s">
        <v>80</v>
      </c>
      <c r="B11" s="32">
        <f>B10-B9</f>
        <v>355.76470588235316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1" x14ac:dyDescent="0.4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15.75" x14ac:dyDescent="0.5">
      <c r="A13" s="22" t="s">
        <v>81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x14ac:dyDescent="0.45">
      <c r="A14" s="47" t="s">
        <v>0</v>
      </c>
      <c r="B14" s="48" t="s">
        <v>1</v>
      </c>
      <c r="C14" s="48"/>
      <c r="D14" s="48"/>
      <c r="E14" s="48"/>
      <c r="F14" s="48"/>
      <c r="G14" s="48"/>
      <c r="H14" s="48"/>
      <c r="I14" s="48"/>
      <c r="J14" s="48"/>
      <c r="K14" s="48"/>
    </row>
    <row r="15" spans="1:11" x14ac:dyDescent="0.45">
      <c r="A15" s="47"/>
      <c r="B15" s="25">
        <v>1</v>
      </c>
      <c r="C15" s="25">
        <v>2</v>
      </c>
      <c r="D15" s="25">
        <v>3</v>
      </c>
      <c r="E15" s="25">
        <v>4</v>
      </c>
      <c r="F15" s="25">
        <v>5</v>
      </c>
      <c r="G15" s="25">
        <v>6</v>
      </c>
      <c r="H15" s="25">
        <v>7</v>
      </c>
      <c r="I15" s="25">
        <v>8</v>
      </c>
      <c r="J15" s="25">
        <v>9</v>
      </c>
      <c r="K15" s="25">
        <v>10</v>
      </c>
    </row>
    <row r="16" spans="1:11" x14ac:dyDescent="0.45">
      <c r="A16" s="19" t="s">
        <v>82</v>
      </c>
      <c r="B16" s="20">
        <v>8700</v>
      </c>
      <c r="C16" s="20">
        <v>670</v>
      </c>
      <c r="D16" s="20">
        <v>1450</v>
      </c>
      <c r="E16" s="20">
        <v>1270</v>
      </c>
      <c r="F16" s="20">
        <v>900</v>
      </c>
      <c r="G16" s="20">
        <v>1035</v>
      </c>
      <c r="H16" s="20">
        <v>5100</v>
      </c>
      <c r="I16" s="20">
        <v>6500</v>
      </c>
      <c r="J16" s="20">
        <v>3210</v>
      </c>
      <c r="K16" s="20">
        <v>5355</v>
      </c>
    </row>
    <row r="17" spans="1:11" x14ac:dyDescent="0.45">
      <c r="A17" s="19" t="s">
        <v>83</v>
      </c>
      <c r="B17" s="20">
        <v>850</v>
      </c>
      <c r="C17" s="20">
        <v>195</v>
      </c>
      <c r="D17" s="20">
        <v>290</v>
      </c>
      <c r="E17" s="20">
        <v>195</v>
      </c>
      <c r="F17" s="20">
        <v>107</v>
      </c>
      <c r="G17" s="20">
        <v>104</v>
      </c>
      <c r="H17" s="20">
        <v>660</v>
      </c>
      <c r="I17" s="20">
        <v>1190</v>
      </c>
      <c r="J17" s="20">
        <v>420</v>
      </c>
      <c r="K17" s="20">
        <v>850</v>
      </c>
    </row>
    <row r="18" spans="1:11" x14ac:dyDescent="0.45">
      <c r="A18" s="19" t="s">
        <v>77</v>
      </c>
      <c r="B18" s="20">
        <v>360</v>
      </c>
      <c r="C18" s="20">
        <v>360</v>
      </c>
      <c r="D18" s="20">
        <v>180</v>
      </c>
      <c r="E18" s="20">
        <v>180</v>
      </c>
      <c r="F18" s="20">
        <v>360</v>
      </c>
      <c r="G18" s="20">
        <v>180</v>
      </c>
      <c r="H18" s="20">
        <v>360</v>
      </c>
      <c r="I18" s="20">
        <v>180</v>
      </c>
      <c r="J18" s="20">
        <v>360</v>
      </c>
      <c r="K18" s="20">
        <v>180</v>
      </c>
    </row>
    <row r="19" spans="1:11" x14ac:dyDescent="0.45">
      <c r="A19" s="28" t="s">
        <v>84</v>
      </c>
      <c r="B19" s="32">
        <f>B16/B17</f>
        <v>10.235294117647058</v>
      </c>
      <c r="C19" s="32"/>
      <c r="D19" s="32"/>
      <c r="E19" s="32"/>
      <c r="F19" s="32"/>
      <c r="G19" s="32"/>
      <c r="H19" s="32"/>
      <c r="I19" s="32"/>
      <c r="J19" s="32"/>
      <c r="K19" s="32"/>
    </row>
    <row r="20" spans="1:11" x14ac:dyDescent="0.45">
      <c r="A20" s="51" t="s">
        <v>85</v>
      </c>
      <c r="B20" s="52">
        <v>12</v>
      </c>
      <c r="C20" s="52">
        <v>5</v>
      </c>
      <c r="D20" s="52">
        <v>8</v>
      </c>
      <c r="E20" s="52">
        <v>9</v>
      </c>
      <c r="F20" s="52">
        <v>12</v>
      </c>
      <c r="G20" s="52">
        <v>13</v>
      </c>
      <c r="H20" s="52">
        <v>10.5</v>
      </c>
      <c r="I20" s="52">
        <v>8.5</v>
      </c>
      <c r="J20" s="52">
        <v>9</v>
      </c>
      <c r="K20" s="52">
        <v>10.5</v>
      </c>
    </row>
    <row r="21" spans="1:11" x14ac:dyDescent="0.45">
      <c r="A21" s="28" t="s">
        <v>86</v>
      </c>
      <c r="B21" s="32">
        <f>B18/B19</f>
        <v>35.172413793103452</v>
      </c>
      <c r="C21" s="32"/>
      <c r="D21" s="32"/>
      <c r="E21" s="32"/>
      <c r="F21" s="32"/>
      <c r="G21" s="32"/>
      <c r="H21" s="32"/>
      <c r="I21" s="32"/>
      <c r="J21" s="32"/>
      <c r="K21" s="32"/>
    </row>
    <row r="22" spans="1:11" x14ac:dyDescent="0.45">
      <c r="A22" s="28" t="s">
        <v>87</v>
      </c>
      <c r="B22" s="32">
        <f>B18/B20</f>
        <v>30</v>
      </c>
      <c r="C22" s="32"/>
      <c r="D22" s="32"/>
      <c r="E22" s="32"/>
      <c r="F22" s="32"/>
      <c r="G22" s="32"/>
      <c r="H22" s="32"/>
      <c r="I22" s="32"/>
      <c r="J22" s="32"/>
      <c r="K22" s="32"/>
    </row>
    <row r="23" spans="1:11" x14ac:dyDescent="0.45">
      <c r="A23" s="31" t="s">
        <v>88</v>
      </c>
      <c r="B23" s="32">
        <f>B16/B20</f>
        <v>725</v>
      </c>
      <c r="C23" s="32"/>
      <c r="D23" s="32"/>
      <c r="E23" s="32"/>
      <c r="F23" s="32"/>
      <c r="G23" s="32"/>
      <c r="H23" s="32"/>
      <c r="I23" s="32"/>
      <c r="J23" s="32"/>
      <c r="K23" s="32"/>
    </row>
    <row r="24" spans="1:11" x14ac:dyDescent="0.45">
      <c r="A24" s="31" t="s">
        <v>89</v>
      </c>
      <c r="B24" s="32">
        <f>B23-B17</f>
        <v>-125</v>
      </c>
      <c r="C24" s="32"/>
      <c r="D24" s="32"/>
      <c r="E24" s="32"/>
      <c r="F24" s="32"/>
      <c r="G24" s="32"/>
      <c r="H24" s="32"/>
      <c r="I24" s="32"/>
      <c r="J24" s="32"/>
      <c r="K24" s="32"/>
    </row>
  </sheetData>
  <mergeCells count="4">
    <mergeCell ref="A14:A15"/>
    <mergeCell ref="B14:K14"/>
    <mergeCell ref="A3:A4"/>
    <mergeCell ref="B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 Рублевская</dc:creator>
  <cp:lastModifiedBy>Маргарита Рублевская</cp:lastModifiedBy>
  <dcterms:created xsi:type="dcterms:W3CDTF">2026-02-13T06:44:07Z</dcterms:created>
  <dcterms:modified xsi:type="dcterms:W3CDTF">2026-02-27T08:15:19Z</dcterms:modified>
</cp:coreProperties>
</file>